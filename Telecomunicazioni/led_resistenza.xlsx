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o\Desktop\scuola\Telecomunicazioni\"/>
    </mc:Choice>
  </mc:AlternateContent>
  <xr:revisionPtr revIDLastSave="0" documentId="13_ncr:1_{F5167B34-2990-4719-8AA3-22AF48868A21}" xr6:coauthVersionLast="47" xr6:coauthVersionMax="47" xr10:uidLastSave="{00000000-0000-0000-0000-000000000000}"/>
  <bookViews>
    <workbookView xWindow="6870" yWindow="1935" windowWidth="21600" windowHeight="11295" xr2:uid="{3DF9D497-AA97-496A-AC35-3E4527FFDC1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1" i="1" l="1"/>
  <c r="E31" i="1" s="1"/>
  <c r="D28" i="1"/>
  <c r="E28" i="1" s="1"/>
  <c r="D27" i="1"/>
  <c r="E27" i="1"/>
  <c r="D4" i="1"/>
  <c r="E4" i="1" s="1"/>
  <c r="D25" i="1"/>
  <c r="E25" i="1"/>
  <c r="D23" i="1"/>
  <c r="E23" i="1" s="1"/>
  <c r="D18" i="1"/>
  <c r="E18" i="1" s="1"/>
  <c r="D17" i="1"/>
  <c r="E17" i="1" s="1"/>
  <c r="D14" i="1"/>
  <c r="E14" i="1" s="1"/>
  <c r="D15" i="1"/>
  <c r="E15" i="1" s="1"/>
  <c r="D6" i="1"/>
  <c r="E6" i="1" s="1"/>
  <c r="D7" i="1"/>
  <c r="E7" i="1" s="1"/>
  <c r="D9" i="1"/>
  <c r="E9" i="1" s="1"/>
  <c r="D10" i="1"/>
  <c r="E10" i="1" s="1"/>
  <c r="D12" i="1"/>
  <c r="E12" i="1" s="1"/>
  <c r="D16" i="1"/>
  <c r="E16" i="1" s="1"/>
  <c r="D19" i="1"/>
  <c r="E19" i="1" s="1"/>
  <c r="D24" i="1"/>
  <c r="E24" i="1" s="1"/>
  <c r="D20" i="1"/>
  <c r="E20" i="1" s="1"/>
  <c r="D21" i="1"/>
  <c r="E21" i="1" s="1"/>
  <c r="D22" i="1"/>
  <c r="E22" i="1" s="1"/>
  <c r="D8" i="1"/>
  <c r="E8" i="1" s="1"/>
  <c r="D11" i="1"/>
  <c r="E11" i="1" s="1"/>
  <c r="D13" i="1"/>
  <c r="E13" i="1" s="1"/>
  <c r="D26" i="1"/>
  <c r="E26" i="1" s="1"/>
  <c r="D29" i="1"/>
  <c r="E29" i="1" s="1"/>
  <c r="D30" i="1"/>
  <c r="E30" i="1" s="1"/>
  <c r="D32" i="1"/>
  <c r="E32" i="1" s="1"/>
  <c r="D33" i="1"/>
  <c r="E33" i="1" s="1"/>
  <c r="D5" i="1"/>
  <c r="E5" i="1" s="1"/>
</calcChain>
</file>

<file path=xl/sharedStrings.xml><?xml version="1.0" encoding="utf-8"?>
<sst xmlns="http://schemas.openxmlformats.org/spreadsheetml/2006/main" count="6" uniqueCount="6">
  <si>
    <t>OHM</t>
  </si>
  <si>
    <t>V</t>
  </si>
  <si>
    <t>I</t>
  </si>
  <si>
    <t>CADUTA TENSIONE RESISTENZA</t>
  </si>
  <si>
    <t>MISURA</t>
  </si>
  <si>
    <t>Voltaggio Arduino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</si>
</sst>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GRAFICO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Sheet1!$E$3</c:f>
              <c:strCache>
                <c:ptCount val="1"/>
                <c:pt idx="0">
                  <c:v>I</c:v>
                </c:pt>
              </c:strCache>
            </c:strRef>
          </c:tx>
          <c:spPr>
            <a:ln w="25400" cap="flat" cmpd="dbl" algn="ctr">
              <a:solidFill>
                <a:schemeClr val="accent1">
                  <a:alpha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Sheet1!$D$4:$D$33</c:f>
              <c:numCache>
                <c:formatCode>General</c:formatCode>
                <c:ptCount val="30"/>
                <c:pt idx="0">
                  <c:v>4.5599999999999996</c:v>
                </c:pt>
                <c:pt idx="1">
                  <c:v>4.1899999999999995</c:v>
                </c:pt>
                <c:pt idx="2">
                  <c:v>3.87</c:v>
                </c:pt>
                <c:pt idx="3">
                  <c:v>3.3600000000000003</c:v>
                </c:pt>
                <c:pt idx="4">
                  <c:v>3.1399999999999997</c:v>
                </c:pt>
                <c:pt idx="5">
                  <c:v>3.145</c:v>
                </c:pt>
                <c:pt idx="6">
                  <c:v>2.96</c:v>
                </c:pt>
                <c:pt idx="7">
                  <c:v>2.93</c:v>
                </c:pt>
                <c:pt idx="8">
                  <c:v>2.85</c:v>
                </c:pt>
                <c:pt idx="9">
                  <c:v>2.94</c:v>
                </c:pt>
                <c:pt idx="10">
                  <c:v>2.8</c:v>
                </c:pt>
                <c:pt idx="11">
                  <c:v>2.83</c:v>
                </c:pt>
                <c:pt idx="12">
                  <c:v>2.82</c:v>
                </c:pt>
                <c:pt idx="13">
                  <c:v>2.83</c:v>
                </c:pt>
                <c:pt idx="14">
                  <c:v>2.76</c:v>
                </c:pt>
                <c:pt idx="15">
                  <c:v>2.75</c:v>
                </c:pt>
                <c:pt idx="16">
                  <c:v>2.71</c:v>
                </c:pt>
                <c:pt idx="17">
                  <c:v>2.74</c:v>
                </c:pt>
                <c:pt idx="18">
                  <c:v>2.74</c:v>
                </c:pt>
                <c:pt idx="19">
                  <c:v>2.67</c:v>
                </c:pt>
                <c:pt idx="20">
                  <c:v>2.7</c:v>
                </c:pt>
                <c:pt idx="21">
                  <c:v>2.67</c:v>
                </c:pt>
                <c:pt idx="22">
                  <c:v>2.75</c:v>
                </c:pt>
                <c:pt idx="23">
                  <c:v>2.69</c:v>
                </c:pt>
                <c:pt idx="24">
                  <c:v>2.63</c:v>
                </c:pt>
                <c:pt idx="25">
                  <c:v>2.63</c:v>
                </c:pt>
                <c:pt idx="26">
                  <c:v>2.5499999999999998</c:v>
                </c:pt>
                <c:pt idx="27">
                  <c:v>2.6</c:v>
                </c:pt>
                <c:pt idx="28">
                  <c:v>2.42</c:v>
                </c:pt>
                <c:pt idx="29">
                  <c:v>2.3199999999999998</c:v>
                </c:pt>
              </c:numCache>
            </c:numRef>
          </c:xVal>
          <c:yVal>
            <c:numRef>
              <c:f>Sheet1!$E$4:$E$33</c:f>
              <c:numCache>
                <c:formatCode>General</c:formatCode>
                <c:ptCount val="30"/>
                <c:pt idx="0">
                  <c:v>0.91199999999999992</c:v>
                </c:pt>
                <c:pt idx="1">
                  <c:v>0.41899999999999993</c:v>
                </c:pt>
                <c:pt idx="2">
                  <c:v>0.19350000000000001</c:v>
                </c:pt>
                <c:pt idx="3">
                  <c:v>6.720000000000001E-2</c:v>
                </c:pt>
                <c:pt idx="4">
                  <c:v>3.1399999999999997E-2</c:v>
                </c:pt>
                <c:pt idx="5">
                  <c:v>2.859090909090909E-2</c:v>
                </c:pt>
                <c:pt idx="6">
                  <c:v>1.4800000000000001E-2</c:v>
                </c:pt>
                <c:pt idx="7">
                  <c:v>1.3318181818181819E-2</c:v>
                </c:pt>
                <c:pt idx="8">
                  <c:v>8.906250000000001E-3</c:v>
                </c:pt>
                <c:pt idx="9">
                  <c:v>8.9090909090909082E-3</c:v>
                </c:pt>
                <c:pt idx="10">
                  <c:v>6.5116279069767436E-3</c:v>
                </c:pt>
                <c:pt idx="11">
                  <c:v>6.4318181818181818E-3</c:v>
                </c:pt>
                <c:pt idx="12">
                  <c:v>5.64E-3</c:v>
                </c:pt>
                <c:pt idx="13">
                  <c:v>5.5490196078431375E-3</c:v>
                </c:pt>
                <c:pt idx="14">
                  <c:v>5.0181818181818175E-3</c:v>
                </c:pt>
                <c:pt idx="15">
                  <c:v>4.5081967213114757E-3</c:v>
                </c:pt>
                <c:pt idx="16">
                  <c:v>4.1060606060606061E-3</c:v>
                </c:pt>
                <c:pt idx="17">
                  <c:v>3.859154929577465E-3</c:v>
                </c:pt>
                <c:pt idx="18">
                  <c:v>3.6052631578947373E-3</c:v>
                </c:pt>
                <c:pt idx="19">
                  <c:v>3.1046511627906975E-3</c:v>
                </c:pt>
                <c:pt idx="20">
                  <c:v>2.9032258064516131E-3</c:v>
                </c:pt>
                <c:pt idx="21">
                  <c:v>2.7244897959183673E-3</c:v>
                </c:pt>
                <c:pt idx="22">
                  <c:v>2.7499999999999998E-3</c:v>
                </c:pt>
                <c:pt idx="23">
                  <c:v>2.4454545454545454E-3</c:v>
                </c:pt>
                <c:pt idx="24">
                  <c:v>1.9774436090225565E-3</c:v>
                </c:pt>
                <c:pt idx="25">
                  <c:v>1.315E-3</c:v>
                </c:pt>
                <c:pt idx="26">
                  <c:v>5.0999999999999993E-4</c:v>
                </c:pt>
                <c:pt idx="27">
                  <c:v>4.8780487804878049E-4</c:v>
                </c:pt>
                <c:pt idx="28">
                  <c:v>2.4199999999999999E-5</c:v>
                </c:pt>
                <c:pt idx="29">
                  <c:v>2.3199999999999998E-6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2A-435F-921B-C9FC91235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327520"/>
        <c:axId val="1753327936"/>
      </c:scatterChart>
      <c:valAx>
        <c:axId val="1753327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53327936"/>
        <c:crosses val="autoZero"/>
        <c:crossBetween val="midCat"/>
      </c:valAx>
      <c:valAx>
        <c:axId val="175332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53327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flat" cmpd="dbl" algn="ctr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34925" cap="flat" cmpd="dbl" algn="ctr">
        <a:solidFill>
          <a:schemeClr val="phClr">
            <a:lumMod val="75000"/>
            <a:alpha val="70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kern="1200" spc="0" normalizeH="0" baseline="0"/>
  </cs:title>
  <cs:trendline>
    <cs:lnRef idx="0">
      <cs:styleClr val="0"/>
    </cs:lnRef>
    <cs:fillRef idx="0"/>
    <cs:effectRef idx="0"/>
    <cs:fontRef idx="minor">
      <a:schemeClr val="tx1"/>
    </cs:fontRef>
    <cs:spPr>
      <a:ln w="38100" cap="rnd" cmpd="sng" algn="ctr">
        <a:solidFill>
          <a:schemeClr val="phClr">
            <a:lumMod val="75000"/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265043</xdr:colOff>
      <xdr:row>3</xdr:row>
      <xdr:rowOff>66261</xdr:rowOff>
    </xdr:from>
    <xdr:to>
      <xdr:col>18</xdr:col>
      <xdr:colOff>184896</xdr:colOff>
      <xdr:row>29</xdr:row>
      <xdr:rowOff>32496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C81B63-1DAE-4056-8B45-852CA87D1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749FF-7FC2-492B-949C-BEA78F376BBB}">
  <dimension ref="A3:E36"/>
  <sheetViews>
    <sheetView tabSelected="1" topLeftCell="A2" zoomScale="110" zoomScaleNormal="110" workbookViewId="0">
      <selection activeCell="G31" sqref="G31"/>
    </sheetView>
  </sheetViews>
  <sheetFormatPr defaultRowHeight="15" x14ac:dyDescent="0.25"/>
  <cols>
    <col min="2" max="2" width="10" bestFit="1" customWidth="1"/>
    <col min="3" max="3" width="29" bestFit="1" customWidth="1"/>
    <col min="5" max="5" width="14.85546875" bestFit="1" customWidth="1"/>
    <col min="7" max="7" width="12" bestFit="1" customWidth="1"/>
  </cols>
  <sheetData>
    <row r="3" spans="1:5" x14ac:dyDescent="0.25">
      <c r="A3" s="2" t="s">
        <v>4</v>
      </c>
      <c r="B3" s="2" t="s">
        <v>0</v>
      </c>
      <c r="C3" s="2" t="s">
        <v>3</v>
      </c>
      <c r="D3" s="2" t="s">
        <v>1</v>
      </c>
      <c r="E3" s="2" t="s">
        <v>2</v>
      </c>
    </row>
    <row r="4" spans="1:5" x14ac:dyDescent="0.25">
      <c r="A4" s="1">
        <v>1</v>
      </c>
      <c r="B4" s="1">
        <v>5</v>
      </c>
      <c r="C4" s="1">
        <v>0.44</v>
      </c>
      <c r="D4" s="1">
        <f>$A$36-C4</f>
        <v>4.5599999999999996</v>
      </c>
      <c r="E4" s="1">
        <f t="shared" ref="E4:E32" si="0">D4/B4</f>
        <v>0.91199999999999992</v>
      </c>
    </row>
    <row r="5" spans="1:5" x14ac:dyDescent="0.25">
      <c r="A5" s="1">
        <v>2</v>
      </c>
      <c r="B5" s="1">
        <v>10</v>
      </c>
      <c r="C5" s="1">
        <v>0.81</v>
      </c>
      <c r="D5" s="1">
        <f>$A$36-C5</f>
        <v>4.1899999999999995</v>
      </c>
      <c r="E5" s="1">
        <f t="shared" si="0"/>
        <v>0.41899999999999993</v>
      </c>
    </row>
    <row r="6" spans="1:5" x14ac:dyDescent="0.25">
      <c r="A6" s="1">
        <v>3</v>
      </c>
      <c r="B6" s="1">
        <v>20</v>
      </c>
      <c r="C6" s="1">
        <v>1.1299999999999999</v>
      </c>
      <c r="D6" s="1">
        <f>$A$36-C6</f>
        <v>3.87</v>
      </c>
      <c r="E6" s="1">
        <f t="shared" si="0"/>
        <v>0.19350000000000001</v>
      </c>
    </row>
    <row r="7" spans="1:5" x14ac:dyDescent="0.25">
      <c r="A7" s="1">
        <v>4</v>
      </c>
      <c r="B7" s="1">
        <v>50</v>
      </c>
      <c r="C7" s="1">
        <v>1.64</v>
      </c>
      <c r="D7" s="1">
        <f>$A$36-C7</f>
        <v>3.3600000000000003</v>
      </c>
      <c r="E7" s="1">
        <f t="shared" si="0"/>
        <v>6.720000000000001E-2</v>
      </c>
    </row>
    <row r="8" spans="1:5" x14ac:dyDescent="0.25">
      <c r="A8" s="1">
        <v>5</v>
      </c>
      <c r="B8" s="1">
        <v>100</v>
      </c>
      <c r="C8" s="1">
        <v>1.86</v>
      </c>
      <c r="D8" s="1">
        <f>$A$36-C8</f>
        <v>3.1399999999999997</v>
      </c>
      <c r="E8" s="1">
        <f t="shared" si="0"/>
        <v>3.1399999999999997E-2</v>
      </c>
    </row>
    <row r="9" spans="1:5" x14ac:dyDescent="0.25">
      <c r="A9" s="1">
        <v>6</v>
      </c>
      <c r="B9" s="1">
        <v>110</v>
      </c>
      <c r="C9" s="1">
        <v>1.855</v>
      </c>
      <c r="D9" s="1">
        <f>$A$36-C9</f>
        <v>3.145</v>
      </c>
      <c r="E9" s="1">
        <f t="shared" si="0"/>
        <v>2.859090909090909E-2</v>
      </c>
    </row>
    <row r="10" spans="1:5" x14ac:dyDescent="0.25">
      <c r="A10" s="1">
        <v>7</v>
      </c>
      <c r="B10" s="1">
        <v>200</v>
      </c>
      <c r="C10" s="1">
        <v>2.04</v>
      </c>
      <c r="D10" s="1">
        <f>$A$36-C10</f>
        <v>2.96</v>
      </c>
      <c r="E10" s="1">
        <f t="shared" si="0"/>
        <v>1.4800000000000001E-2</v>
      </c>
    </row>
    <row r="11" spans="1:5" x14ac:dyDescent="0.25">
      <c r="A11" s="1">
        <v>8</v>
      </c>
      <c r="B11" s="1">
        <v>220</v>
      </c>
      <c r="C11" s="1">
        <v>2.0699999999999998</v>
      </c>
      <c r="D11" s="1">
        <f>$A$36-C11</f>
        <v>2.93</v>
      </c>
      <c r="E11" s="1">
        <f t="shared" si="0"/>
        <v>1.3318181818181819E-2</v>
      </c>
    </row>
    <row r="12" spans="1:5" x14ac:dyDescent="0.25">
      <c r="A12" s="1">
        <v>9</v>
      </c>
      <c r="B12" s="1">
        <v>320</v>
      </c>
      <c r="C12" s="1">
        <v>2.15</v>
      </c>
      <c r="D12" s="1">
        <f>$A$36-C12</f>
        <v>2.85</v>
      </c>
      <c r="E12" s="1">
        <f t="shared" si="0"/>
        <v>8.906250000000001E-3</v>
      </c>
    </row>
    <row r="13" spans="1:5" x14ac:dyDescent="0.25">
      <c r="A13" s="1">
        <v>10</v>
      </c>
      <c r="B13" s="1">
        <v>330</v>
      </c>
      <c r="C13" s="1">
        <v>2.06</v>
      </c>
      <c r="D13" s="1">
        <f>$A$36-C13</f>
        <v>2.94</v>
      </c>
      <c r="E13" s="1">
        <f t="shared" si="0"/>
        <v>8.9090909090909082E-3</v>
      </c>
    </row>
    <row r="14" spans="1:5" x14ac:dyDescent="0.25">
      <c r="A14" s="1">
        <v>11</v>
      </c>
      <c r="B14" s="1">
        <v>430</v>
      </c>
      <c r="C14" s="1">
        <v>2.2000000000000002</v>
      </c>
      <c r="D14" s="1">
        <f>$A$36-C14</f>
        <v>2.8</v>
      </c>
      <c r="E14" s="1">
        <f t="shared" si="0"/>
        <v>6.5116279069767436E-3</v>
      </c>
    </row>
    <row r="15" spans="1:5" x14ac:dyDescent="0.25">
      <c r="A15" s="1">
        <v>12</v>
      </c>
      <c r="B15" s="1">
        <v>440</v>
      </c>
      <c r="C15" s="1">
        <v>2.17</v>
      </c>
      <c r="D15" s="1">
        <f>$A$36-C15</f>
        <v>2.83</v>
      </c>
      <c r="E15" s="1">
        <f t="shared" si="0"/>
        <v>6.4318181818181818E-3</v>
      </c>
    </row>
    <row r="16" spans="1:5" x14ac:dyDescent="0.25">
      <c r="A16" s="1">
        <v>13</v>
      </c>
      <c r="B16" s="1">
        <v>500</v>
      </c>
      <c r="C16" s="1">
        <v>2.1800000000000002</v>
      </c>
      <c r="D16" s="1">
        <f>$A$36-C16</f>
        <v>2.82</v>
      </c>
      <c r="E16" s="1">
        <f t="shared" si="0"/>
        <v>5.64E-3</v>
      </c>
    </row>
    <row r="17" spans="1:5" x14ac:dyDescent="0.25">
      <c r="A17" s="1">
        <v>14</v>
      </c>
      <c r="B17" s="1">
        <v>510</v>
      </c>
      <c r="C17" s="1">
        <v>2.17</v>
      </c>
      <c r="D17" s="1">
        <f>$A$36-C17</f>
        <v>2.83</v>
      </c>
      <c r="E17" s="1">
        <f t="shared" si="0"/>
        <v>5.5490196078431375E-3</v>
      </c>
    </row>
    <row r="18" spans="1:5" x14ac:dyDescent="0.25">
      <c r="A18" s="1">
        <v>15</v>
      </c>
      <c r="B18" s="1">
        <v>550</v>
      </c>
      <c r="C18" s="1">
        <v>2.2400000000000002</v>
      </c>
      <c r="D18" s="1">
        <f>$A$36-C18</f>
        <v>2.76</v>
      </c>
      <c r="E18" s="1">
        <f t="shared" si="0"/>
        <v>5.0181818181818175E-3</v>
      </c>
    </row>
    <row r="19" spans="1:5" x14ac:dyDescent="0.25">
      <c r="A19" s="1">
        <v>16</v>
      </c>
      <c r="B19" s="1">
        <v>610</v>
      </c>
      <c r="C19" s="1">
        <v>2.25</v>
      </c>
      <c r="D19" s="1">
        <f>$A$36-C19</f>
        <v>2.75</v>
      </c>
      <c r="E19" s="1">
        <f t="shared" si="0"/>
        <v>4.5081967213114757E-3</v>
      </c>
    </row>
    <row r="20" spans="1:5" x14ac:dyDescent="0.25">
      <c r="A20" s="1">
        <v>17</v>
      </c>
      <c r="B20" s="1">
        <v>660</v>
      </c>
      <c r="C20" s="1">
        <v>2.29</v>
      </c>
      <c r="D20" s="1">
        <f>$A$36-C20</f>
        <v>2.71</v>
      </c>
      <c r="E20" s="1">
        <f t="shared" si="0"/>
        <v>4.1060606060606061E-3</v>
      </c>
    </row>
    <row r="21" spans="1:5" x14ac:dyDescent="0.25">
      <c r="A21" s="1">
        <v>18</v>
      </c>
      <c r="B21" s="1">
        <v>710</v>
      </c>
      <c r="C21" s="1">
        <v>2.2599999999999998</v>
      </c>
      <c r="D21" s="1">
        <f>$A$36-C21</f>
        <v>2.74</v>
      </c>
      <c r="E21" s="1">
        <f t="shared" si="0"/>
        <v>3.859154929577465E-3</v>
      </c>
    </row>
    <row r="22" spans="1:5" x14ac:dyDescent="0.25">
      <c r="A22" s="1">
        <v>19</v>
      </c>
      <c r="B22" s="1">
        <v>760</v>
      </c>
      <c r="C22" s="1">
        <v>2.2599999999999998</v>
      </c>
      <c r="D22" s="1">
        <f>$A$36-C22</f>
        <v>2.74</v>
      </c>
      <c r="E22" s="1">
        <f t="shared" si="0"/>
        <v>3.6052631578947373E-3</v>
      </c>
    </row>
    <row r="23" spans="1:5" x14ac:dyDescent="0.25">
      <c r="A23" s="1">
        <v>20</v>
      </c>
      <c r="B23" s="1">
        <v>860</v>
      </c>
      <c r="C23" s="1">
        <v>2.33</v>
      </c>
      <c r="D23" s="1">
        <f>$A$36-C23</f>
        <v>2.67</v>
      </c>
      <c r="E23" s="1">
        <f t="shared" si="0"/>
        <v>3.1046511627906975E-3</v>
      </c>
    </row>
    <row r="24" spans="1:5" x14ac:dyDescent="0.25">
      <c r="A24" s="1">
        <v>21</v>
      </c>
      <c r="B24" s="1">
        <v>930</v>
      </c>
      <c r="C24" s="1">
        <v>2.2999999999999998</v>
      </c>
      <c r="D24" s="1">
        <f>$A$36-C24</f>
        <v>2.7</v>
      </c>
      <c r="E24" s="1">
        <f t="shared" si="0"/>
        <v>2.9032258064516131E-3</v>
      </c>
    </row>
    <row r="25" spans="1:5" x14ac:dyDescent="0.25">
      <c r="A25" s="1">
        <v>22</v>
      </c>
      <c r="B25" s="1">
        <v>980</v>
      </c>
      <c r="C25" s="1">
        <v>2.33</v>
      </c>
      <c r="D25" s="1">
        <f>$A$36-C25</f>
        <v>2.67</v>
      </c>
      <c r="E25" s="1">
        <f t="shared" si="0"/>
        <v>2.7244897959183673E-3</v>
      </c>
    </row>
    <row r="26" spans="1:5" x14ac:dyDescent="0.25">
      <c r="A26" s="1">
        <v>23</v>
      </c>
      <c r="B26" s="1">
        <v>1000</v>
      </c>
      <c r="C26" s="1">
        <v>2.25</v>
      </c>
      <c r="D26" s="1">
        <f>$A$36-C26</f>
        <v>2.75</v>
      </c>
      <c r="E26" s="1">
        <f t="shared" si="0"/>
        <v>2.7499999999999998E-3</v>
      </c>
    </row>
    <row r="27" spans="1:5" x14ac:dyDescent="0.25">
      <c r="A27" s="1">
        <v>24</v>
      </c>
      <c r="B27" s="1">
        <v>1100</v>
      </c>
      <c r="C27" s="1">
        <v>2.31</v>
      </c>
      <c r="D27" s="1">
        <f>$A$36-C27</f>
        <v>2.69</v>
      </c>
      <c r="E27" s="1">
        <f t="shared" si="0"/>
        <v>2.4454545454545454E-3</v>
      </c>
    </row>
    <row r="28" spans="1:5" x14ac:dyDescent="0.25">
      <c r="A28" s="1">
        <v>25</v>
      </c>
      <c r="B28" s="1">
        <v>1330</v>
      </c>
      <c r="C28" s="1">
        <v>2.37</v>
      </c>
      <c r="D28" s="1">
        <f>$A$36-C28</f>
        <v>2.63</v>
      </c>
      <c r="E28" s="1">
        <f t="shared" si="0"/>
        <v>1.9774436090225565E-3</v>
      </c>
    </row>
    <row r="29" spans="1:5" x14ac:dyDescent="0.25">
      <c r="A29" s="1">
        <v>26</v>
      </c>
      <c r="B29" s="1">
        <v>2000</v>
      </c>
      <c r="C29" s="1">
        <v>2.37</v>
      </c>
      <c r="D29" s="1">
        <f>$A$36-C29</f>
        <v>2.63</v>
      </c>
      <c r="E29" s="1">
        <f t="shared" si="0"/>
        <v>1.315E-3</v>
      </c>
    </row>
    <row r="30" spans="1:5" x14ac:dyDescent="0.25">
      <c r="A30" s="1">
        <v>27</v>
      </c>
      <c r="B30" s="1">
        <v>5000</v>
      </c>
      <c r="C30" s="1">
        <v>2.4500000000000002</v>
      </c>
      <c r="D30" s="1">
        <f>$A$36-C30</f>
        <v>2.5499999999999998</v>
      </c>
      <c r="E30" s="1">
        <f t="shared" si="0"/>
        <v>5.0999999999999993E-4</v>
      </c>
    </row>
    <row r="31" spans="1:5" x14ac:dyDescent="0.25">
      <c r="A31" s="1">
        <v>28</v>
      </c>
      <c r="B31" s="1">
        <v>5330</v>
      </c>
      <c r="C31" s="1">
        <v>2.4</v>
      </c>
      <c r="D31" s="1">
        <f>$A$36-C31</f>
        <v>2.6</v>
      </c>
      <c r="E31" s="1">
        <f t="shared" si="0"/>
        <v>4.8780487804878049E-4</v>
      </c>
    </row>
    <row r="32" spans="1:5" x14ac:dyDescent="0.25">
      <c r="A32" s="1">
        <v>29</v>
      </c>
      <c r="B32" s="1">
        <v>100000</v>
      </c>
      <c r="C32" s="1">
        <v>2.58</v>
      </c>
      <c r="D32" s="1">
        <f>$A$36-C32</f>
        <v>2.42</v>
      </c>
      <c r="E32" s="1">
        <f t="shared" si="0"/>
        <v>2.4199999999999999E-5</v>
      </c>
    </row>
    <row r="33" spans="1:5" x14ac:dyDescent="0.25">
      <c r="A33" s="1">
        <v>30</v>
      </c>
      <c r="B33" s="1">
        <v>1000000</v>
      </c>
      <c r="C33" s="1">
        <v>2.68</v>
      </c>
      <c r="D33" s="1">
        <f>$A$36-C33</f>
        <v>2.3199999999999998</v>
      </c>
      <c r="E33" s="1">
        <f t="shared" ref="E33" si="1">D33/B33</f>
        <v>2.3199999999999998E-6</v>
      </c>
    </row>
    <row r="35" spans="1:5" x14ac:dyDescent="0.25">
      <c r="A35" s="3" t="s">
        <v>5</v>
      </c>
      <c r="B35" s="3"/>
    </row>
    <row r="36" spans="1:5" x14ac:dyDescent="0.25">
      <c r="A36" s="4">
        <v>5</v>
      </c>
      <c r="B36" s="4"/>
    </row>
  </sheetData>
  <mergeCells count="2">
    <mergeCell ref="A35:B35"/>
    <mergeCell ref="A36:B3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 Bianchessi</dc:creator>
  <cp:lastModifiedBy>Paolo Bianchessi</cp:lastModifiedBy>
  <dcterms:created xsi:type="dcterms:W3CDTF">2021-11-24T07:31:58Z</dcterms:created>
  <dcterms:modified xsi:type="dcterms:W3CDTF">2021-12-01T08:35:00Z</dcterms:modified>
</cp:coreProperties>
</file>